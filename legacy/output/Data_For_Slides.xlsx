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miller/dev/TCO/MyBuild/output/charts/"/>
    </mc:Choice>
  </mc:AlternateContent>
  <xr:revisionPtr revIDLastSave="0" documentId="13_ncr:1_{020F5072-2694-A747-B286-C8A7B0F0A16F}" xr6:coauthVersionLast="47" xr6:coauthVersionMax="47" xr10:uidLastSave="{00000000-0000-0000-0000-000000000000}"/>
  <bookViews>
    <workbookView xWindow="0" yWindow="500" windowWidth="44800" windowHeight="24700" activeTab="1" xr2:uid="{E88FBBF0-8F9E-0D42-8CE0-3A20B9F8D374}"/>
  </bookViews>
  <sheets>
    <sheet name="Averages" sheetId="2" r:id="rId1"/>
    <sheet name="Vehicle Models" sheetId="3" r:id="rId2"/>
    <sheet name="Slide Data" sheetId="4" r:id="rId3"/>
  </sheets>
  <definedNames>
    <definedName name="___thinkcellTGFQAAAAAAAAAAAAAAAFRVSFZL5YQY2EWBYN2DUX6SKUU" localSheetId="2" hidden="1">'Slide Data'!$I$1:$K$7</definedName>
    <definedName name="___thinkcellTGFQAAAAAAAAAAAAAAAHJOLXHVN5LCSNSAHYPFPGVI6B4" localSheetId="2" hidden="1">'Slide Data'!$E$1:$G$7</definedName>
    <definedName name="___thinkcellTGFQAAAAAAAAAAAAAAAHUKMHKUSILTCKQREH34VB54SJW" localSheetId="2" hidden="1">'Slide Data'!$A$1:$C$7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  <c r="J2" i="4"/>
  <c r="G2" i="4"/>
  <c r="F2" i="4"/>
  <c r="C2" i="4"/>
  <c r="B2" i="4"/>
</calcChain>
</file>

<file path=xl/sharedStrings.xml><?xml version="1.0" encoding="utf-8"?>
<sst xmlns="http://schemas.openxmlformats.org/spreadsheetml/2006/main" count="121" uniqueCount="65">
  <si>
    <t>vehicle_id</t>
  </si>
  <si>
    <t>model_name</t>
  </si>
  <si>
    <t>drivetrain_type</t>
  </si>
  <si>
    <t>weight_class</t>
  </si>
  <si>
    <t>total_tco_npv</t>
  </si>
  <si>
    <t>annual_tco</t>
  </si>
  <si>
    <t>cost_per_km_total</t>
  </si>
  <si>
    <t>cost_km_capital</t>
  </si>
  <si>
    <t>cost_km_fuel</t>
  </si>
  <si>
    <t>cost_km_maintenance</t>
  </si>
  <si>
    <t>cost_km_insurance</t>
  </si>
  <si>
    <t>cost_km_registration</t>
  </si>
  <si>
    <t>cost_km_carbon</t>
  </si>
  <si>
    <t>cost_km_infrastructure</t>
  </si>
  <si>
    <t>BEV001</t>
  </si>
  <si>
    <t>Jac N75</t>
  </si>
  <si>
    <t>BEV</t>
  </si>
  <si>
    <t>Light Rigid</t>
  </si>
  <si>
    <t>DSL001</t>
  </si>
  <si>
    <t>Hino 300</t>
  </si>
  <si>
    <t>BEV002</t>
  </si>
  <si>
    <t>Hyundai Mighty Electric</t>
  </si>
  <si>
    <t>DSL002</t>
  </si>
  <si>
    <t>Hyundai Mighty</t>
  </si>
  <si>
    <t>BEV003</t>
  </si>
  <si>
    <t>Jac N90</t>
  </si>
  <si>
    <t>DSL003</t>
  </si>
  <si>
    <t>Hino 500</t>
  </si>
  <si>
    <t>BEV004</t>
  </si>
  <si>
    <t>Volvo FL</t>
  </si>
  <si>
    <t>Medium Rigid</t>
  </si>
  <si>
    <t>DSL004</t>
  </si>
  <si>
    <t>Volvo FE</t>
  </si>
  <si>
    <t>BEV005</t>
  </si>
  <si>
    <t>MB eActros 300</t>
  </si>
  <si>
    <t>DSL005</t>
  </si>
  <si>
    <t>MB Actros</t>
  </si>
  <si>
    <t>BEV006</t>
  </si>
  <si>
    <t>MB eActros 600</t>
  </si>
  <si>
    <t>Articulated</t>
  </si>
  <si>
    <t>DSL006</t>
  </si>
  <si>
    <t>BEV007</t>
  </si>
  <si>
    <t>Volvo FH</t>
  </si>
  <si>
    <t>DSL007</t>
  </si>
  <si>
    <t>BEV008</t>
  </si>
  <si>
    <t>Scania 45R</t>
  </si>
  <si>
    <t>DSL008</t>
  </si>
  <si>
    <t>Scania R560</t>
  </si>
  <si>
    <t>Diesel</t>
  </si>
  <si>
    <t>AVG_Articulated_BEV</t>
  </si>
  <si>
    <t>AVG_Articulated_Diesel</t>
  </si>
  <si>
    <t>AVG_Light_Rigid_BEV</t>
  </si>
  <si>
    <t>AVG_Light_Rigid_Diesel</t>
  </si>
  <si>
    <t>AVG_Medium_Rigid_BEV</t>
  </si>
  <si>
    <t>AVG_Medium_Rigid_Diesel</t>
  </si>
  <si>
    <t>ICE</t>
  </si>
  <si>
    <t>Depreciation</t>
  </si>
  <si>
    <t>Fuel</t>
  </si>
  <si>
    <t>Maintenance</t>
  </si>
  <si>
    <t>Insurance</t>
  </si>
  <si>
    <t>BEV Penalties (Payload, Charging, Battery)</t>
  </si>
  <si>
    <t>cost_km_battery</t>
  </si>
  <si>
    <t>cost_km_penalties</t>
  </si>
  <si>
    <t>Total</t>
  </si>
  <si>
    <t>Heavy Articulated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</si>
</sst>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quotePrefix="1" applyNumberFormat="1"/>
    <xf numFmtId="2" fontId="0" fillId="0" borderId="0" xfId="0" applyNumberFormat="1"/>
    <xf numFmtId="44" fontId="0" fillId="0" borderId="0" xfId="1" quotePrefix="1" applyFont="1"/>
    <xf numFmtId="44" fontId="0" fillId="0" borderId="0" xfId="1" applyFont="1"/>
    <xf numFmtId="0" fontId="18" fillId="0" borderId="0" xfId="0" applyFont="1"/>
    <xf numFmtId="164" fontId="0" fillId="0" borderId="0" xfId="0" quotePrefix="1" applyNumberFormat="1"/>
    <xf numFmtId="16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FD06-BFF0-124D-9F24-06E79C61E59F}">
  <dimension ref="A1:L9"/>
  <sheetViews>
    <sheetView workbookViewId="0">
      <selection activeCell="D1" sqref="D1:L1"/>
    </sheetView>
  </sheetViews>
  <sheetFormatPr baseColWidth="10" defaultRowHeight="16" x14ac:dyDescent="0.2"/>
  <cols>
    <col min="1" max="1" width="27.6640625" customWidth="1"/>
  </cols>
  <sheetData>
    <row r="1" spans="1:12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61</v>
      </c>
      <c r="L1" t="s">
        <v>62</v>
      </c>
    </row>
    <row r="2" spans="1:12" x14ac:dyDescent="0.2">
      <c r="A2" t="s">
        <v>51</v>
      </c>
      <c r="B2">
        <v>337747.77</v>
      </c>
      <c r="C2">
        <v>32539.39</v>
      </c>
      <c r="D2">
        <v>1.41</v>
      </c>
      <c r="E2">
        <v>0.64</v>
      </c>
      <c r="F2">
        <v>0.11</v>
      </c>
      <c r="G2">
        <v>0.11</v>
      </c>
      <c r="H2">
        <v>0.33</v>
      </c>
      <c r="I2">
        <v>0.03</v>
      </c>
      <c r="J2">
        <v>0</v>
      </c>
      <c r="K2">
        <v>0.02</v>
      </c>
      <c r="L2">
        <v>0.18</v>
      </c>
    </row>
    <row r="3" spans="1:12" x14ac:dyDescent="0.2">
      <c r="A3" t="s">
        <v>52</v>
      </c>
      <c r="B3">
        <v>358370.84</v>
      </c>
      <c r="C3">
        <v>34526.269999999997</v>
      </c>
      <c r="D3">
        <v>1.5</v>
      </c>
      <c r="E3">
        <v>0.38</v>
      </c>
      <c r="F3">
        <v>0.68</v>
      </c>
      <c r="G3">
        <v>0.19</v>
      </c>
      <c r="H3">
        <v>0.22</v>
      </c>
      <c r="I3">
        <v>0.03</v>
      </c>
      <c r="J3">
        <v>0</v>
      </c>
      <c r="K3">
        <v>0</v>
      </c>
      <c r="L3">
        <v>0</v>
      </c>
    </row>
    <row r="5" spans="1:12" x14ac:dyDescent="0.2">
      <c r="A5" t="s">
        <v>53</v>
      </c>
      <c r="B5">
        <v>624781.43999999994</v>
      </c>
      <c r="C5">
        <v>60192.87</v>
      </c>
      <c r="D5">
        <v>2.62</v>
      </c>
      <c r="E5">
        <v>1.2</v>
      </c>
      <c r="F5">
        <v>0.23</v>
      </c>
      <c r="G5">
        <v>0.11</v>
      </c>
      <c r="H5">
        <v>0.54</v>
      </c>
      <c r="I5">
        <v>0.03</v>
      </c>
      <c r="J5">
        <v>0</v>
      </c>
      <c r="K5">
        <v>0.06</v>
      </c>
      <c r="L5">
        <v>0.45</v>
      </c>
    </row>
    <row r="6" spans="1:12" x14ac:dyDescent="0.2">
      <c r="A6" t="s">
        <v>54</v>
      </c>
      <c r="B6">
        <v>574230.59</v>
      </c>
      <c r="C6">
        <v>55322.69</v>
      </c>
      <c r="D6">
        <v>2.41</v>
      </c>
      <c r="E6">
        <v>0.98</v>
      </c>
      <c r="F6">
        <v>0.78</v>
      </c>
      <c r="G6">
        <v>0.19</v>
      </c>
      <c r="H6">
        <v>0.42</v>
      </c>
      <c r="I6">
        <v>0.03</v>
      </c>
      <c r="J6">
        <v>0</v>
      </c>
      <c r="K6">
        <v>0</v>
      </c>
      <c r="L6">
        <v>0</v>
      </c>
    </row>
    <row r="8" spans="1:12" x14ac:dyDescent="0.2">
      <c r="A8" t="s">
        <v>49</v>
      </c>
      <c r="B8">
        <v>2909509.3</v>
      </c>
      <c r="C8">
        <v>280308.78000000003</v>
      </c>
      <c r="D8">
        <v>3.34</v>
      </c>
      <c r="E8">
        <v>0.5</v>
      </c>
      <c r="F8">
        <v>0.33</v>
      </c>
      <c r="G8">
        <v>0.2</v>
      </c>
      <c r="H8">
        <v>0.21</v>
      </c>
      <c r="I8">
        <v>0.08</v>
      </c>
      <c r="J8">
        <v>0</v>
      </c>
      <c r="K8">
        <v>0.03</v>
      </c>
      <c r="L8">
        <v>1.97</v>
      </c>
    </row>
    <row r="9" spans="1:12" x14ac:dyDescent="0.2">
      <c r="A9" t="s">
        <v>50</v>
      </c>
      <c r="B9">
        <v>1460893.21</v>
      </c>
      <c r="C9">
        <v>140745.79</v>
      </c>
      <c r="D9">
        <v>1.68</v>
      </c>
      <c r="E9">
        <v>0.31</v>
      </c>
      <c r="F9">
        <v>0.85</v>
      </c>
      <c r="G9">
        <v>0.3</v>
      </c>
      <c r="H9">
        <v>0.13</v>
      </c>
      <c r="I9">
        <v>0.08</v>
      </c>
      <c r="J9">
        <v>0</v>
      </c>
      <c r="K9">
        <v>0</v>
      </c>
      <c r="L9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E01A-2BA6-B24D-B1FE-2B7AE55DBB84}">
  <dimension ref="A1:N24"/>
  <sheetViews>
    <sheetView tabSelected="1" workbookViewId="0">
      <selection activeCell="J15" sqref="J15"/>
    </sheetView>
  </sheetViews>
  <sheetFormatPr baseColWidth="10" defaultRowHeight="16" x14ac:dyDescent="0.2"/>
  <cols>
    <col min="1" max="1" width="9.33203125" bestFit="1" customWidth="1"/>
    <col min="2" max="2" width="20.33203125" bestFit="1" customWidth="1"/>
    <col min="3" max="3" width="14.1640625" customWidth="1"/>
    <col min="4" max="4" width="12" bestFit="1" customWidth="1"/>
    <col min="5" max="5" width="14" bestFit="1" customWidth="1"/>
    <col min="8" max="8" width="15" customWidth="1"/>
    <col min="9" max="9" width="13.1640625" customWidth="1"/>
    <col min="10" max="10" width="21.5" customWidth="1"/>
    <col min="11" max="11" width="18" customWidth="1"/>
    <col min="12" max="12" width="18.5" customWidth="1"/>
    <col min="13" max="13" width="14.6640625" customWidth="1"/>
    <col min="14" max="14" width="21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s="3">
        <v>356342.27425018197</v>
      </c>
      <c r="F2" s="1">
        <v>34330.829873143302</v>
      </c>
      <c r="G2" s="3">
        <v>1.4926447770931801</v>
      </c>
      <c r="H2" s="1">
        <v>0.70769890521906798</v>
      </c>
      <c r="I2" s="1">
        <v>0.100051780280955</v>
      </c>
      <c r="J2" s="1">
        <v>0.107541941151679</v>
      </c>
      <c r="K2" s="1">
        <v>0.35554347826086902</v>
      </c>
      <c r="L2" s="1">
        <v>2.8391304347826E-2</v>
      </c>
      <c r="M2" s="2">
        <v>0</v>
      </c>
      <c r="N2" s="1">
        <v>1.2566385340336199</v>
      </c>
    </row>
    <row r="3" spans="1:14" x14ac:dyDescent="0.2">
      <c r="A3" t="s">
        <v>18</v>
      </c>
      <c r="B3" t="s">
        <v>19</v>
      </c>
      <c r="C3" t="s">
        <v>48</v>
      </c>
      <c r="D3" t="s">
        <v>17</v>
      </c>
      <c r="E3" s="3">
        <v>339108.05451015098</v>
      </c>
      <c r="F3" s="2">
        <v>32670.4457182283</v>
      </c>
      <c r="G3" s="4">
        <v>1.4204541616621</v>
      </c>
      <c r="H3" s="1">
        <v>0.32077004202564002</v>
      </c>
      <c r="I3" s="2">
        <v>0.68119558208517506</v>
      </c>
      <c r="J3" s="1">
        <v>0.19357549407302299</v>
      </c>
      <c r="K3" s="1">
        <v>0.196521739130434</v>
      </c>
      <c r="L3" s="1">
        <v>2.8391304347826E-2</v>
      </c>
      <c r="M3" s="2">
        <v>0</v>
      </c>
      <c r="N3" s="2">
        <v>0</v>
      </c>
    </row>
    <row r="4" spans="1:14" x14ac:dyDescent="0.2">
      <c r="E4" s="4"/>
      <c r="G4" s="4"/>
    </row>
    <row r="5" spans="1:14" x14ac:dyDescent="0.2">
      <c r="A5" t="s">
        <v>20</v>
      </c>
      <c r="B5" t="s">
        <v>21</v>
      </c>
      <c r="C5" t="s">
        <v>16</v>
      </c>
      <c r="D5" t="s">
        <v>17</v>
      </c>
      <c r="E5" s="3">
        <v>305441.66750118899</v>
      </c>
      <c r="F5" s="1">
        <v>29426.948978246699</v>
      </c>
      <c r="G5" s="3">
        <v>1.27943256427159</v>
      </c>
      <c r="H5" s="1">
        <v>0.60144382879807501</v>
      </c>
      <c r="I5" s="1">
        <v>0.100051780280955</v>
      </c>
      <c r="J5" s="1">
        <v>0.107541941151679</v>
      </c>
      <c r="K5" s="1">
        <v>0.31521739130434701</v>
      </c>
      <c r="L5" s="1">
        <v>2.8391304347826E-2</v>
      </c>
      <c r="M5" s="2">
        <v>0</v>
      </c>
      <c r="N5" s="1">
        <v>1.2566385340336199</v>
      </c>
    </row>
    <row r="6" spans="1:14" x14ac:dyDescent="0.2">
      <c r="A6" t="s">
        <v>22</v>
      </c>
      <c r="B6" t="s">
        <v>23</v>
      </c>
      <c r="C6" t="s">
        <v>48</v>
      </c>
      <c r="D6" t="s">
        <v>17</v>
      </c>
      <c r="E6" s="3">
        <v>332687.12606052897</v>
      </c>
      <c r="F6" s="1">
        <v>32051.838782816401</v>
      </c>
      <c r="G6" s="3">
        <v>1.39355820794854</v>
      </c>
      <c r="H6" s="1">
        <v>0.300721914399037</v>
      </c>
      <c r="I6" s="2">
        <v>0.68119558208517506</v>
      </c>
      <c r="J6" s="1">
        <v>0.19357549407302299</v>
      </c>
      <c r="K6" s="1">
        <v>0.189673913043478</v>
      </c>
      <c r="L6" s="1">
        <v>2.8391304347826E-2</v>
      </c>
      <c r="M6" s="2">
        <v>0</v>
      </c>
      <c r="N6" s="2">
        <v>0</v>
      </c>
    </row>
    <row r="7" spans="1:14" x14ac:dyDescent="0.2">
      <c r="E7" s="4"/>
      <c r="G7" s="4"/>
    </row>
    <row r="8" spans="1:14" x14ac:dyDescent="0.2">
      <c r="A8" t="s">
        <v>24</v>
      </c>
      <c r="B8" t="s">
        <v>25</v>
      </c>
      <c r="C8" t="s">
        <v>16</v>
      </c>
      <c r="D8" t="s">
        <v>17</v>
      </c>
      <c r="E8" s="3">
        <v>351459.36708647001</v>
      </c>
      <c r="F8" s="1">
        <v>33860.3994268077</v>
      </c>
      <c r="G8" s="3">
        <v>1.47219127942642</v>
      </c>
      <c r="H8" s="1">
        <v>0.60144382879807501</v>
      </c>
      <c r="I8" s="1">
        <v>0.12714913744038001</v>
      </c>
      <c r="J8" s="1">
        <v>0.107541941151679</v>
      </c>
      <c r="K8" s="1">
        <v>0.31521739130434701</v>
      </c>
      <c r="L8" s="1">
        <v>2.8391304347826E-2</v>
      </c>
      <c r="M8" s="2">
        <v>0</v>
      </c>
      <c r="N8" s="1">
        <v>1.2566385340336199</v>
      </c>
    </row>
    <row r="9" spans="1:14" x14ac:dyDescent="0.2">
      <c r="A9" t="s">
        <v>26</v>
      </c>
      <c r="B9" t="s">
        <v>27</v>
      </c>
      <c r="C9" t="s">
        <v>48</v>
      </c>
      <c r="D9" t="s">
        <v>17</v>
      </c>
      <c r="E9" s="4">
        <v>403317.33900637098</v>
      </c>
      <c r="F9" s="1">
        <v>38856.515072346803</v>
      </c>
      <c r="G9" s="3">
        <v>1.68941369879769</v>
      </c>
      <c r="H9" s="1">
        <v>0.52125131829166504</v>
      </c>
      <c r="I9" s="2">
        <v>0.68119558208517506</v>
      </c>
      <c r="J9" s="1">
        <v>0.19357549407302299</v>
      </c>
      <c r="K9" s="2">
        <v>0.26500000000000001</v>
      </c>
      <c r="L9" s="1">
        <v>2.8391304347826E-2</v>
      </c>
      <c r="M9" s="2">
        <v>0</v>
      </c>
      <c r="N9" s="2">
        <v>0</v>
      </c>
    </row>
    <row r="10" spans="1:14" x14ac:dyDescent="0.2">
      <c r="E10" s="4"/>
      <c r="G10" s="4"/>
    </row>
    <row r="11" spans="1:14" x14ac:dyDescent="0.2">
      <c r="A11" t="s">
        <v>28</v>
      </c>
      <c r="B11" t="s">
        <v>29</v>
      </c>
      <c r="C11" t="s">
        <v>16</v>
      </c>
      <c r="D11" t="s">
        <v>30</v>
      </c>
      <c r="E11" s="3">
        <v>463895.11531665298</v>
      </c>
      <c r="F11" s="1">
        <v>44692.716620360603</v>
      </c>
      <c r="G11" s="3">
        <v>1.9431615921895899</v>
      </c>
      <c r="H11" s="1">
        <v>0.80192510506409997</v>
      </c>
      <c r="I11" s="1">
        <v>0.22720091772133499</v>
      </c>
      <c r="J11" s="1">
        <v>0.107541941151679</v>
      </c>
      <c r="K11" s="2">
        <v>0.39130434782608697</v>
      </c>
      <c r="L11" s="1">
        <v>2.8391304347826E-2</v>
      </c>
      <c r="M11" s="2">
        <v>0</v>
      </c>
      <c r="N11" s="1">
        <v>1.2566385340336199</v>
      </c>
    </row>
    <row r="12" spans="1:14" x14ac:dyDescent="0.2">
      <c r="A12" t="s">
        <v>31</v>
      </c>
      <c r="B12" t="s">
        <v>32</v>
      </c>
      <c r="C12" t="s">
        <v>48</v>
      </c>
      <c r="D12" t="s">
        <v>30</v>
      </c>
      <c r="E12" s="3">
        <v>542125.94761110295</v>
      </c>
      <c r="F12" s="1">
        <v>52229.653965183003</v>
      </c>
      <c r="G12" s="3">
        <v>2.2708545202253401</v>
      </c>
      <c r="H12" s="1">
        <v>0.88211761557051005</v>
      </c>
      <c r="I12" s="1">
        <v>0.77850923666877103</v>
      </c>
      <c r="J12" s="1">
        <v>0.19357549407302299</v>
      </c>
      <c r="K12" s="1">
        <v>0.38826086956521699</v>
      </c>
      <c r="L12" s="1">
        <v>2.8391304347826E-2</v>
      </c>
      <c r="M12" s="2">
        <v>0</v>
      </c>
      <c r="N12" s="2">
        <v>0</v>
      </c>
    </row>
    <row r="13" spans="1:14" x14ac:dyDescent="0.2">
      <c r="E13" s="4"/>
      <c r="G13" s="4"/>
    </row>
    <row r="14" spans="1:14" x14ac:dyDescent="0.2">
      <c r="A14" t="s">
        <v>33</v>
      </c>
      <c r="B14" t="s">
        <v>34</v>
      </c>
      <c r="C14" t="s">
        <v>16</v>
      </c>
      <c r="D14" t="s">
        <v>30</v>
      </c>
      <c r="E14" s="4">
        <v>785667.76645243599</v>
      </c>
      <c r="F14" s="1">
        <v>75693.029920873101</v>
      </c>
      <c r="G14" s="4">
        <v>3.2910013009075301</v>
      </c>
      <c r="H14" s="1">
        <v>1.6038502101281999</v>
      </c>
      <c r="I14" s="1">
        <v>0.22720091772133499</v>
      </c>
      <c r="J14" s="1">
        <v>0.107541941151679</v>
      </c>
      <c r="K14" s="1">
        <v>0.69565217391304301</v>
      </c>
      <c r="L14" s="1">
        <v>2.8391304347826E-2</v>
      </c>
      <c r="M14" s="2">
        <v>0</v>
      </c>
      <c r="N14" s="1">
        <v>1.2566385340336199</v>
      </c>
    </row>
    <row r="15" spans="1:14" x14ac:dyDescent="0.2">
      <c r="A15" t="s">
        <v>35</v>
      </c>
      <c r="B15" t="s">
        <v>36</v>
      </c>
      <c r="C15" t="s">
        <v>48</v>
      </c>
      <c r="D15" t="s">
        <v>30</v>
      </c>
      <c r="E15" s="4">
        <v>606335.23210732301</v>
      </c>
      <c r="F15" s="1">
        <v>58415.7233193016</v>
      </c>
      <c r="G15" s="3">
        <v>2.5398140573609398</v>
      </c>
      <c r="H15" s="1">
        <v>1.0825988918365299</v>
      </c>
      <c r="I15" s="1">
        <v>0.77850923666877103</v>
      </c>
      <c r="J15" s="1">
        <v>0.19357549407302299</v>
      </c>
      <c r="K15" s="1">
        <v>0.45673913043478198</v>
      </c>
      <c r="L15" s="1">
        <v>2.8391304347826E-2</v>
      </c>
      <c r="M15" s="2">
        <v>0</v>
      </c>
      <c r="N15" s="2">
        <v>0</v>
      </c>
    </row>
    <row r="16" spans="1:14" x14ac:dyDescent="0.2">
      <c r="E16" s="4"/>
      <c r="G16" s="4"/>
    </row>
    <row r="17" spans="1:14" x14ac:dyDescent="0.2">
      <c r="A17" t="s">
        <v>37</v>
      </c>
      <c r="B17" t="s">
        <v>38</v>
      </c>
      <c r="C17" t="s">
        <v>16</v>
      </c>
      <c r="D17" t="s">
        <v>39</v>
      </c>
      <c r="E17" s="3">
        <v>3076175.7700008499</v>
      </c>
      <c r="F17" s="1">
        <v>296365.81077001098</v>
      </c>
      <c r="G17" s="3">
        <v>3.5281644139287001</v>
      </c>
      <c r="H17" s="2">
        <v>0.65872419344551103</v>
      </c>
      <c r="I17" s="1">
        <v>0.33371542292202999</v>
      </c>
      <c r="J17" s="1">
        <v>0.204329688188191</v>
      </c>
      <c r="K17" s="1">
        <v>0.273809523809523</v>
      </c>
      <c r="L17" s="2">
        <v>8.1809523809523804E-2</v>
      </c>
      <c r="M17" s="2">
        <v>0</v>
      </c>
      <c r="N17" s="1">
        <v>0.34407959860444398</v>
      </c>
    </row>
    <row r="18" spans="1:14" x14ac:dyDescent="0.2">
      <c r="A18" t="s">
        <v>40</v>
      </c>
      <c r="B18" t="s">
        <v>36</v>
      </c>
      <c r="C18" t="s">
        <v>48</v>
      </c>
      <c r="D18" t="s">
        <v>39</v>
      </c>
      <c r="E18" s="3">
        <v>1443770.73289167</v>
      </c>
      <c r="F18" s="1">
        <v>139096.17519005801</v>
      </c>
      <c r="G18" s="4">
        <v>1.6559068475006999</v>
      </c>
      <c r="H18" s="1">
        <v>0.29642588705048001</v>
      </c>
      <c r="I18" s="1">
        <v>0.85149447760646801</v>
      </c>
      <c r="J18" s="1">
        <v>0.30111743522470302</v>
      </c>
      <c r="K18" s="1">
        <v>0.12505952380952301</v>
      </c>
      <c r="L18" s="2">
        <v>8.1809523809523804E-2</v>
      </c>
      <c r="M18" s="2">
        <v>0</v>
      </c>
      <c r="N18" s="2">
        <v>0</v>
      </c>
    </row>
    <row r="19" spans="1:14" x14ac:dyDescent="0.2">
      <c r="E19" s="4"/>
      <c r="G19" s="4"/>
    </row>
    <row r="20" spans="1:14" x14ac:dyDescent="0.2">
      <c r="A20" t="s">
        <v>41</v>
      </c>
      <c r="B20" t="s">
        <v>42</v>
      </c>
      <c r="C20" t="s">
        <v>16</v>
      </c>
      <c r="D20" t="s">
        <v>39</v>
      </c>
      <c r="E20" s="3">
        <v>2924543.2705874098</v>
      </c>
      <c r="F20" s="1">
        <v>281757.188900612</v>
      </c>
      <c r="G20" s="3">
        <v>3.3542522488168101</v>
      </c>
      <c r="H20" s="1">
        <v>0.494043145084133</v>
      </c>
      <c r="I20" s="1">
        <v>0.33371542292202999</v>
      </c>
      <c r="J20" s="1">
        <v>0.204329688188191</v>
      </c>
      <c r="K20" s="1">
        <v>0.211309523809523</v>
      </c>
      <c r="L20" s="2">
        <v>8.1809523809523804E-2</v>
      </c>
      <c r="M20" s="2">
        <v>0</v>
      </c>
      <c r="N20" s="1">
        <v>0.34407959860444398</v>
      </c>
    </row>
    <row r="21" spans="1:14" x14ac:dyDescent="0.2">
      <c r="A21" t="s">
        <v>43</v>
      </c>
      <c r="B21" t="s">
        <v>42</v>
      </c>
      <c r="C21" t="s">
        <v>48</v>
      </c>
      <c r="D21" t="s">
        <v>39</v>
      </c>
      <c r="E21" s="3">
        <v>1456612.58979091</v>
      </c>
      <c r="F21" s="1">
        <v>140333.38906088201</v>
      </c>
      <c r="G21" s="3">
        <v>1.67063558405812</v>
      </c>
      <c r="H21" s="1">
        <v>0.30740462360790499</v>
      </c>
      <c r="I21" s="1">
        <v>0.85149447760646801</v>
      </c>
      <c r="J21" s="1">
        <v>0.30111743522470302</v>
      </c>
      <c r="K21" s="1">
        <v>0.12880952380952301</v>
      </c>
      <c r="L21" s="2">
        <v>8.1809523809523804E-2</v>
      </c>
      <c r="M21" s="2">
        <v>0</v>
      </c>
      <c r="N21" s="2">
        <v>0</v>
      </c>
    </row>
    <row r="22" spans="1:14" x14ac:dyDescent="0.2">
      <c r="E22" s="4"/>
      <c r="G22" s="4"/>
    </row>
    <row r="23" spans="1:14" x14ac:dyDescent="0.2">
      <c r="A23" t="s">
        <v>44</v>
      </c>
      <c r="B23" t="s">
        <v>45</v>
      </c>
      <c r="C23" t="s">
        <v>16</v>
      </c>
      <c r="D23" t="s">
        <v>39</v>
      </c>
      <c r="E23" s="3">
        <v>2727808.8639912601</v>
      </c>
      <c r="F23" s="1">
        <v>262803.34611769201</v>
      </c>
      <c r="G23" s="3">
        <v>3.12861126330586</v>
      </c>
      <c r="H23" s="2">
        <v>0.35131956983760598</v>
      </c>
      <c r="I23" s="1">
        <v>0.33371542292202999</v>
      </c>
      <c r="J23" s="1">
        <v>0.204329688188191</v>
      </c>
      <c r="K23" s="1">
        <v>0.157142857142857</v>
      </c>
      <c r="L23" s="2">
        <v>8.1809523809523804E-2</v>
      </c>
      <c r="M23" s="2">
        <v>0</v>
      </c>
      <c r="N23" s="1">
        <v>0.34407959860444398</v>
      </c>
    </row>
    <row r="24" spans="1:14" x14ac:dyDescent="0.2">
      <c r="A24" t="s">
        <v>46</v>
      </c>
      <c r="B24" t="s">
        <v>47</v>
      </c>
      <c r="C24" t="s">
        <v>48</v>
      </c>
      <c r="D24" t="s">
        <v>39</v>
      </c>
      <c r="E24" s="3">
        <v>1482296.3035893999</v>
      </c>
      <c r="F24" s="1">
        <v>142807.81680252901</v>
      </c>
      <c r="G24" s="3">
        <v>1.70009305717297</v>
      </c>
      <c r="H24" s="1">
        <v>0.32936209672275502</v>
      </c>
      <c r="I24" s="1">
        <v>0.85149447760646801</v>
      </c>
      <c r="J24" s="1">
        <v>0.30111743522470302</v>
      </c>
      <c r="K24" s="1">
        <v>0.13630952380952299</v>
      </c>
      <c r="L24" s="2">
        <v>8.1809523809523804E-2</v>
      </c>
      <c r="M24" s="2">
        <v>0</v>
      </c>
      <c r="N24" s="2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A262-543D-CF49-9732-57F94A26E032}">
  <dimension ref="A1:K7"/>
  <sheetViews>
    <sheetView workbookViewId="0">
      <selection activeCell="I1" sqref="I1"/>
    </sheetView>
  </sheetViews>
  <sheetFormatPr baseColWidth="10" defaultRowHeight="16" x14ac:dyDescent="0.2"/>
  <cols>
    <col min="1" max="1" width="17.5" customWidth="1"/>
    <col min="9" max="9" width="15.33203125" customWidth="1"/>
  </cols>
  <sheetData>
    <row r="1" spans="1:11" x14ac:dyDescent="0.2">
      <c r="A1" s="5" t="s">
        <v>17</v>
      </c>
      <c r="B1" s="5" t="s">
        <v>16</v>
      </c>
      <c r="C1" s="5" t="s">
        <v>55</v>
      </c>
      <c r="E1" s="5" t="s">
        <v>30</v>
      </c>
      <c r="F1" s="5" t="s">
        <v>16</v>
      </c>
      <c r="G1" s="5" t="s">
        <v>55</v>
      </c>
      <c r="I1" s="5" t="s">
        <v>64</v>
      </c>
      <c r="J1" s="5" t="s">
        <v>16</v>
      </c>
      <c r="K1" s="5" t="s">
        <v>55</v>
      </c>
    </row>
    <row r="2" spans="1:11" x14ac:dyDescent="0.2">
      <c r="A2" s="5"/>
      <c r="B2" s="6">
        <f>SUM(B3:B7)</f>
        <v>1.3863649025825753</v>
      </c>
      <c r="C2" s="6">
        <f>SUM(C3:C7)</f>
        <v>1.4727507184549491</v>
      </c>
      <c r="E2" s="5"/>
      <c r="F2">
        <f>SUM(F3:F7)</f>
        <v>2.59</v>
      </c>
      <c r="G2">
        <f>SUM(G3:G7)</f>
        <v>2.37</v>
      </c>
      <c r="I2" s="5" t="s">
        <v>63</v>
      </c>
      <c r="J2">
        <f>SUM(J3:J7)</f>
        <v>3.24</v>
      </c>
      <c r="K2">
        <f>SUM(K3:K7)</f>
        <v>1.59</v>
      </c>
    </row>
    <row r="3" spans="1:11" x14ac:dyDescent="0.2">
      <c r="A3" s="5" t="s">
        <v>60</v>
      </c>
      <c r="B3" s="6">
        <v>0.2042171208685383</v>
      </c>
      <c r="C3" s="7">
        <v>0</v>
      </c>
      <c r="D3" s="7"/>
      <c r="E3" s="5" t="s">
        <v>60</v>
      </c>
      <c r="F3">
        <v>0.51</v>
      </c>
      <c r="G3">
        <v>0</v>
      </c>
      <c r="I3" s="5" t="s">
        <v>60</v>
      </c>
      <c r="J3">
        <v>2</v>
      </c>
      <c r="K3">
        <v>0</v>
      </c>
    </row>
    <row r="4" spans="1:11" x14ac:dyDescent="0.2">
      <c r="A4" s="5" t="s">
        <v>59</v>
      </c>
      <c r="B4" s="6">
        <v>0.32865942028985501</v>
      </c>
      <c r="C4" s="6">
        <v>0.21706521739130399</v>
      </c>
      <c r="E4" s="5" t="s">
        <v>59</v>
      </c>
      <c r="F4">
        <v>0.54</v>
      </c>
      <c r="G4">
        <v>0.42</v>
      </c>
      <c r="I4" s="5" t="s">
        <v>59</v>
      </c>
      <c r="J4">
        <v>0.21</v>
      </c>
      <c r="K4">
        <v>0.13</v>
      </c>
    </row>
    <row r="5" spans="1:11" x14ac:dyDescent="0.2">
      <c r="A5" s="5" t="s">
        <v>58</v>
      </c>
      <c r="B5" s="6">
        <v>0.107541941151679</v>
      </c>
      <c r="C5" s="6">
        <v>0.19357549407302299</v>
      </c>
      <c r="E5" s="5" t="s">
        <v>58</v>
      </c>
      <c r="F5">
        <v>0.11</v>
      </c>
      <c r="G5">
        <v>0.19</v>
      </c>
      <c r="I5" s="5" t="s">
        <v>58</v>
      </c>
      <c r="J5">
        <v>0.2</v>
      </c>
      <c r="K5">
        <v>0.3</v>
      </c>
    </row>
    <row r="6" spans="1:11" x14ac:dyDescent="0.2">
      <c r="A6" s="5" t="s">
        <v>57</v>
      </c>
      <c r="B6" s="6">
        <v>0.10908423266743</v>
      </c>
      <c r="C6" s="7">
        <v>0.68119558208517506</v>
      </c>
      <c r="E6" s="5" t="s">
        <v>57</v>
      </c>
      <c r="F6">
        <v>0.23</v>
      </c>
      <c r="G6">
        <v>0.78</v>
      </c>
      <c r="I6" s="5" t="s">
        <v>57</v>
      </c>
      <c r="J6">
        <v>0.33</v>
      </c>
      <c r="K6">
        <v>0.85</v>
      </c>
    </row>
    <row r="7" spans="1:11" x14ac:dyDescent="0.2">
      <c r="A7" s="5" t="s">
        <v>56</v>
      </c>
      <c r="B7" s="6">
        <v>0.63686218760507296</v>
      </c>
      <c r="C7" s="6">
        <v>0.38091442490544702</v>
      </c>
      <c r="E7" s="5" t="s">
        <v>56</v>
      </c>
      <c r="F7">
        <v>1.2</v>
      </c>
      <c r="G7">
        <v>0.98</v>
      </c>
      <c r="I7" s="5" t="s">
        <v>56</v>
      </c>
      <c r="J7">
        <v>0.5</v>
      </c>
      <c r="K7">
        <v>0.31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Averages</vt:lpstr>
      <vt:lpstr>Vehicle Models</vt:lpstr>
      <vt:lpstr>Slide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Miller</cp:lastModifiedBy>
  <dcterms:created xsi:type="dcterms:W3CDTF">2025-07-15T05:06:00Z</dcterms:created>
  <dcterms:modified xsi:type="dcterms:W3CDTF">2025-07-16T00:58:41Z</dcterms:modified>
</cp:coreProperties>
</file>